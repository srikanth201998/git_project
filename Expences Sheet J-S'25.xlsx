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 Charan\OneDrive\Desktop\"/>
    </mc:Choice>
  </mc:AlternateContent>
  <xr:revisionPtr revIDLastSave="0" documentId="13_ncr:1_{8CFF457C-4EDE-4CEE-99EC-D994EEAA0640}" xr6:coauthVersionLast="47" xr6:coauthVersionMax="47" xr10:uidLastSave="{00000000-0000-0000-0000-000000000000}"/>
  <bookViews>
    <workbookView xWindow="-108" yWindow="-108" windowWidth="23256" windowHeight="12456" activeTab="2" xr2:uid="{9138449B-33AF-40E2-B1B1-2079C391A469}"/>
  </bookViews>
  <sheets>
    <sheet name="Jul'25" sheetId="1" r:id="rId1"/>
    <sheet name="Aug'25" sheetId="2" r:id="rId2"/>
    <sheet name="Sep'25" sheetId="3" r:id="rId3"/>
    <sheet name="SAL-JULY" sheetId="4" r:id="rId4"/>
    <sheet name="OTH EXP-JULY" sheetId="5" r:id="rId5"/>
    <sheet name="SAL-J-S" sheetId="7" r:id="rId6"/>
    <sheet name="OTH-EXP J-S" sheetId="8" r:id="rId7"/>
    <sheet name="TOTAL" sheetId="6" r:id="rId8"/>
  </sheets>
  <definedNames>
    <definedName name="_xlnm._FilterDatabase" localSheetId="1" hidden="1">'Aug''25'!$A$3:$B$3</definedName>
    <definedName name="_xlnm._FilterDatabase" localSheetId="0" hidden="1">'Jul''25'!$A$3:$B$3</definedName>
    <definedName name="_xlnm._FilterDatabase" localSheetId="2" hidden="1">'Sep''25'!$A$3:$B$3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2" i="5" l="1"/>
  <c r="O12" i="5"/>
  <c r="N12" i="5"/>
  <c r="P11" i="5"/>
  <c r="O11" i="5"/>
  <c r="N11" i="5"/>
  <c r="P9" i="5"/>
  <c r="O9" i="5"/>
  <c r="N9" i="5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F5" i="8"/>
  <c r="F4" i="8"/>
  <c r="F3" i="8"/>
  <c r="F19" i="8" s="1"/>
  <c r="G19" i="8"/>
  <c r="G4" i="8"/>
  <c r="G5" i="8"/>
  <c r="G3" i="8"/>
  <c r="E19" i="8"/>
  <c r="C4" i="8"/>
  <c r="C5" i="8" s="1"/>
  <c r="C6" i="8" s="1"/>
  <c r="C7" i="8" s="1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9" i="7" s="1"/>
  <c r="C29" i="7"/>
  <c r="B5" i="6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4" i="5"/>
  <c r="D19" i="5"/>
  <c r="C29" i="4"/>
  <c r="D28" i="4"/>
  <c r="D29" i="4"/>
  <c r="I11" i="5"/>
  <c r="K11" i="5" s="1"/>
  <c r="K9" i="5"/>
  <c r="K8" i="5"/>
  <c r="J14" i="5"/>
  <c r="I14" i="5"/>
  <c r="K14" i="5" s="1"/>
  <c r="L14" i="5" s="1"/>
  <c r="F5" i="5"/>
  <c r="E5" i="5"/>
  <c r="F4" i="5"/>
  <c r="E4" i="5"/>
  <c r="F3" i="5"/>
  <c r="E3" i="5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9" i="4" s="1"/>
  <c r="B24" i="3"/>
  <c r="B13" i="2"/>
  <c r="B25" i="2" s="1"/>
  <c r="B22" i="1"/>
  <c r="D29" i="7" l="1"/>
  <c r="G3" i="5"/>
  <c r="G5" i="5"/>
  <c r="G4" i="5"/>
</calcChain>
</file>

<file path=xl/sharedStrings.xml><?xml version="1.0" encoding="utf-8"?>
<sst xmlns="http://schemas.openxmlformats.org/spreadsheetml/2006/main" count="187" uniqueCount="96">
  <si>
    <t>Indirect Expenses</t>
  </si>
  <si>
    <t>Salaries to Staff</t>
  </si>
  <si>
    <t>Auto Hire Charges A/c</t>
  </si>
  <si>
    <t>BANK CHARGES A/C</t>
  </si>
  <si>
    <t>Cash Discount A/c</t>
  </si>
  <si>
    <t>Daily Tea's and Snacks A/c</t>
  </si>
  <si>
    <t>Delivery Auto's Diesel A/c</t>
  </si>
  <si>
    <t>Electricity Charges A/c</t>
  </si>
  <si>
    <t>Electricity Fitting Charges A/c</t>
  </si>
  <si>
    <t>Incentive Shogan A/c</t>
  </si>
  <si>
    <t>Mislinious Expences A/c</t>
  </si>
  <si>
    <t>OD Intrest - State Bank of India A/c</t>
  </si>
  <si>
    <t>Office Maintanance A/c</t>
  </si>
  <si>
    <t>Office Mobiles Recharges A/c</t>
  </si>
  <si>
    <t>Packging Charges A/c</t>
  </si>
  <si>
    <t>Petrol Charges A/c</t>
  </si>
  <si>
    <t>Pooja Expences A/c</t>
  </si>
  <si>
    <t>Printing &amp; Stationary A/c</t>
  </si>
  <si>
    <t>Round Off A/c</t>
  </si>
  <si>
    <t>Salesmen Palmtap  Recharges A/c</t>
  </si>
  <si>
    <t>Sales Promotion Expences A/c</t>
  </si>
  <si>
    <t>Shop Rent A/c</t>
  </si>
  <si>
    <t>Unloading Charges A/c</t>
  </si>
  <si>
    <t>Vehicle Maintanance A/c</t>
  </si>
  <si>
    <t>Water Charges A/c</t>
  </si>
  <si>
    <t>Jul'25</t>
  </si>
  <si>
    <t>Aug'25</t>
  </si>
  <si>
    <t>Sep'25</t>
  </si>
  <si>
    <t>Total</t>
  </si>
  <si>
    <t>VIRUPAKSHI ENTERPRISES EXPENCES JUL'25</t>
  </si>
  <si>
    <t>VIRUPAKSHI ENTERPRISES EXPENCES SEP'25</t>
  </si>
  <si>
    <t>VIRUPAKSHI ENTERPRISES EXPENCES AUG'25</t>
  </si>
  <si>
    <t>Delivery Auto's Maintanance  A/c</t>
  </si>
  <si>
    <t>SNO</t>
  </si>
  <si>
    <t>NAME OF THE PERSON</t>
  </si>
  <si>
    <t>SALARY</t>
  </si>
  <si>
    <t>KUMARA SWAMY</t>
  </si>
  <si>
    <t>SRILATHA</t>
  </si>
  <si>
    <t>SAI KRISHNA</t>
  </si>
  <si>
    <t>AMZAD</t>
  </si>
  <si>
    <t>LAVANYA</t>
  </si>
  <si>
    <t>RAJKUMAR</t>
  </si>
  <si>
    <t>SUDHA</t>
  </si>
  <si>
    <t>CHANDANA</t>
  </si>
  <si>
    <t>KALPANA</t>
  </si>
  <si>
    <t>MEGHANA</t>
  </si>
  <si>
    <t>NAVYA</t>
  </si>
  <si>
    <t>RANI</t>
  </si>
  <si>
    <t>SUNNI</t>
  </si>
  <si>
    <t>KIRAN</t>
  </si>
  <si>
    <t>G.RAJU</t>
  </si>
  <si>
    <t>ABHILASH</t>
  </si>
  <si>
    <t>AMAR</t>
  </si>
  <si>
    <t>LAXMAN</t>
  </si>
  <si>
    <t>VEERAIAH</t>
  </si>
  <si>
    <t>BHASKAR</t>
  </si>
  <si>
    <t>TEJA</t>
  </si>
  <si>
    <t>DURGAPRASAD</t>
  </si>
  <si>
    <t>GOPAL</t>
  </si>
  <si>
    <t>VANAMMA</t>
  </si>
  <si>
    <t>RAJMOULY</t>
  </si>
  <si>
    <t>TOTAL</t>
  </si>
  <si>
    <t>SALARY +</t>
  </si>
  <si>
    <t>HEAD</t>
  </si>
  <si>
    <t>AMOUNT</t>
  </si>
  <si>
    <t>AUTO HIRE-SAMBAIAH</t>
  </si>
  <si>
    <t>AUTO HIRE-BALU</t>
  </si>
  <si>
    <t>AUTO HIRE-TEJA</t>
  </si>
  <si>
    <t>RENT</t>
  </si>
  <si>
    <t>FUEL</t>
  </si>
  <si>
    <t>STATIONARY</t>
  </si>
  <si>
    <t>POOJA EXP</t>
  </si>
  <si>
    <t>OFFICE MOBILE</t>
  </si>
  <si>
    <t>ME MOBILES EXP</t>
  </si>
  <si>
    <t>HAMAALI</t>
  </si>
  <si>
    <t>BAG EXP</t>
  </si>
  <si>
    <t>ELECTRICITY</t>
  </si>
  <si>
    <t>DISCOUNT</t>
  </si>
  <si>
    <t>RAJESH</t>
  </si>
  <si>
    <t>TEA AND SNACKS</t>
  </si>
  <si>
    <t>WATER</t>
  </si>
  <si>
    <t>BANK CHARGES</t>
  </si>
  <si>
    <t>MISSLEANOUS</t>
  </si>
  <si>
    <t>JULY</t>
  </si>
  <si>
    <t>AUGUST</t>
  </si>
  <si>
    <t>SEPTEMBER</t>
  </si>
  <si>
    <t>SALARIES</t>
  </si>
  <si>
    <t>EXPENSES</t>
  </si>
  <si>
    <t>AUG</t>
  </si>
  <si>
    <t>SEP</t>
  </si>
  <si>
    <t>july</t>
  </si>
  <si>
    <t>aug</t>
  </si>
  <si>
    <t>sep</t>
  </si>
  <si>
    <t>cld</t>
  </si>
  <si>
    <t>out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</si>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</sst>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0"/>
      <name val="Times"/>
      <family val="1"/>
    </font>
    <font>
      <b/>
      <i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2" borderId="0" xfId="0" applyNumberFormat="1" applyFont="1" applyFill="1" applyAlignment="1">
      <alignment vertical="top"/>
    </xf>
    <xf numFmtId="49" fontId="3" fillId="0" borderId="1" xfId="0" applyNumberFormat="1" applyFont="1" applyBorder="1" applyAlignment="1">
      <alignment horizontal="left" vertical="top" indent="2"/>
    </xf>
    <xf numFmtId="49" fontId="4" fillId="0" borderId="1" xfId="0" applyNumberFormat="1" applyFont="1" applyBorder="1" applyAlignment="1">
      <alignment horizontal="left" vertical="top" indent="2"/>
    </xf>
    <xf numFmtId="1" fontId="3" fillId="0" borderId="2" xfId="0" applyNumberFormat="1" applyFont="1" applyBorder="1" applyAlignment="1">
      <alignment horizontal="right" vertical="top"/>
    </xf>
    <xf numFmtId="0" fontId="5" fillId="2" borderId="0" xfId="0" applyFont="1" applyFill="1"/>
    <xf numFmtId="49" fontId="6" fillId="0" borderId="2" xfId="0" applyNumberFormat="1" applyFont="1" applyBorder="1" applyAlignment="1">
      <alignment horizontal="left" vertical="top" indent="2"/>
    </xf>
    <xf numFmtId="1" fontId="7" fillId="0" borderId="2" xfId="0" applyNumberFormat="1" applyFont="1" applyBorder="1"/>
    <xf numFmtId="0" fontId="1" fillId="0" borderId="0" xfId="0" applyFont="1" applyAlignment="1">
      <alignment horizontal="center"/>
    </xf>
    <xf numFmtId="49" fontId="4" fillId="0" borderId="0" xfId="0" applyNumberFormat="1" applyFont="1" applyAlignment="1">
      <alignment horizontal="left" vertical="top" indent="2"/>
    </xf>
    <xf numFmtId="49" fontId="4" fillId="0" borderId="2" xfId="0" applyNumberFormat="1" applyFont="1" applyBorder="1" applyAlignment="1">
      <alignment horizontal="left" vertical="top" indent="2"/>
    </xf>
    <xf numFmtId="1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53614-6648-4B4C-B091-0B438D95519C}">
  <dimension ref="A1:B22"/>
  <sheetViews>
    <sheetView workbookViewId="0">
      <selection activeCell="B16" sqref="B16"/>
    </sheetView>
  </sheetViews>
  <sheetFormatPr defaultRowHeight="14.4" x14ac:dyDescent="0.3"/>
  <cols>
    <col min="1" max="1" width="32.5546875" bestFit="1" customWidth="1"/>
  </cols>
  <sheetData>
    <row r="1" spans="1:2" x14ac:dyDescent="0.3">
      <c r="A1" s="12" t="s">
        <v>29</v>
      </c>
      <c r="B1" s="12"/>
    </row>
    <row r="2" spans="1:2" x14ac:dyDescent="0.3">
      <c r="A2" s="8"/>
      <c r="B2" s="8"/>
    </row>
    <row r="3" spans="1:2" x14ac:dyDescent="0.3">
      <c r="A3" s="1" t="s">
        <v>0</v>
      </c>
      <c r="B3" s="5" t="s">
        <v>25</v>
      </c>
    </row>
    <row r="4" spans="1:2" x14ac:dyDescent="0.3">
      <c r="A4" s="3" t="s">
        <v>2</v>
      </c>
      <c r="B4" s="4">
        <v>118880</v>
      </c>
    </row>
    <row r="5" spans="1:2" x14ac:dyDescent="0.3">
      <c r="A5" s="3" t="s">
        <v>3</v>
      </c>
      <c r="B5" s="4">
        <v>237</v>
      </c>
    </row>
    <row r="6" spans="1:2" x14ac:dyDescent="0.3">
      <c r="A6" s="3" t="s">
        <v>4</v>
      </c>
      <c r="B6" s="4">
        <v>269022</v>
      </c>
    </row>
    <row r="7" spans="1:2" x14ac:dyDescent="0.3">
      <c r="A7" s="3" t="s">
        <v>5</v>
      </c>
      <c r="B7" s="4">
        <v>4495</v>
      </c>
    </row>
    <row r="8" spans="1:2" x14ac:dyDescent="0.3">
      <c r="A8" s="3" t="s">
        <v>7</v>
      </c>
      <c r="B8" s="4">
        <v>9712</v>
      </c>
    </row>
    <row r="9" spans="1:2" x14ac:dyDescent="0.3">
      <c r="A9" s="3" t="s">
        <v>8</v>
      </c>
      <c r="B9" s="4">
        <v>3300</v>
      </c>
    </row>
    <row r="10" spans="1:2" x14ac:dyDescent="0.3">
      <c r="A10" s="9" t="s">
        <v>11</v>
      </c>
      <c r="B10" s="4">
        <v>76069</v>
      </c>
    </row>
    <row r="11" spans="1:2" x14ac:dyDescent="0.3">
      <c r="A11" s="3" t="s">
        <v>12</v>
      </c>
      <c r="B11" s="4">
        <v>6040</v>
      </c>
    </row>
    <row r="12" spans="1:2" x14ac:dyDescent="0.3">
      <c r="A12" s="3" t="s">
        <v>14</v>
      </c>
      <c r="B12" s="4">
        <v>112420</v>
      </c>
    </row>
    <row r="13" spans="1:2" x14ac:dyDescent="0.3">
      <c r="A13" s="3" t="s">
        <v>15</v>
      </c>
      <c r="B13" s="4">
        <v>1000</v>
      </c>
    </row>
    <row r="14" spans="1:2" x14ac:dyDescent="0.3">
      <c r="A14" s="3" t="s">
        <v>16</v>
      </c>
      <c r="B14" s="4">
        <v>330</v>
      </c>
    </row>
    <row r="15" spans="1:2" x14ac:dyDescent="0.3">
      <c r="A15" s="3" t="s">
        <v>18</v>
      </c>
      <c r="B15" s="4">
        <v>6611.13</v>
      </c>
    </row>
    <row r="16" spans="1:2" x14ac:dyDescent="0.3">
      <c r="A16" s="2" t="s">
        <v>1</v>
      </c>
      <c r="B16" s="4">
        <v>318355</v>
      </c>
    </row>
    <row r="17" spans="1:2" x14ac:dyDescent="0.3">
      <c r="A17" s="3" t="s">
        <v>19</v>
      </c>
      <c r="B17" s="4">
        <v>57828</v>
      </c>
    </row>
    <row r="18" spans="1:2" x14ac:dyDescent="0.3">
      <c r="A18" s="3" t="s">
        <v>21</v>
      </c>
      <c r="B18" s="4">
        <v>50000</v>
      </c>
    </row>
    <row r="19" spans="1:2" x14ac:dyDescent="0.3">
      <c r="A19" s="3" t="s">
        <v>22</v>
      </c>
      <c r="B19" s="4">
        <v>54208</v>
      </c>
    </row>
    <row r="20" spans="1:2" x14ac:dyDescent="0.3">
      <c r="A20" s="3" t="s">
        <v>24</v>
      </c>
      <c r="B20" s="4">
        <v>600</v>
      </c>
    </row>
    <row r="22" spans="1:2" x14ac:dyDescent="0.3">
      <c r="A22" s="6" t="s">
        <v>28</v>
      </c>
      <c r="B22" s="7">
        <f>SUM(B4:B20)</f>
        <v>1089107.1299999999</v>
      </c>
    </row>
  </sheetData>
  <autoFilter ref="A3:B3" xr:uid="{08853614-6648-4B4C-B091-0B438D95519C}">
    <sortState xmlns:xlrd2="http://schemas.microsoft.com/office/spreadsheetml/2017/richdata2" ref="A4:B20">
      <sortCondition ref="A3"/>
    </sortState>
  </autoFilter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446A-F279-4762-A651-532DD88D94BA}">
  <dimension ref="A1:B25"/>
  <sheetViews>
    <sheetView workbookViewId="0">
      <selection activeCell="B10" sqref="B10"/>
    </sheetView>
  </sheetViews>
  <sheetFormatPr defaultRowHeight="14.4" x14ac:dyDescent="0.3"/>
  <cols>
    <col min="1" max="1" width="32.5546875" bestFit="1" customWidth="1"/>
    <col min="2" max="2" width="8" bestFit="1" customWidth="1"/>
  </cols>
  <sheetData>
    <row r="1" spans="1:2" x14ac:dyDescent="0.3">
      <c r="A1" s="12" t="s">
        <v>31</v>
      </c>
      <c r="B1" s="12"/>
    </row>
    <row r="3" spans="1:2" x14ac:dyDescent="0.3">
      <c r="A3" s="1" t="s">
        <v>0</v>
      </c>
      <c r="B3" s="5" t="s">
        <v>26</v>
      </c>
    </row>
    <row r="4" spans="1:2" x14ac:dyDescent="0.3">
      <c r="A4" s="3" t="s">
        <v>2</v>
      </c>
      <c r="B4" s="4">
        <v>132292</v>
      </c>
    </row>
    <row r="5" spans="1:2" x14ac:dyDescent="0.3">
      <c r="A5" s="3" t="s">
        <v>4</v>
      </c>
      <c r="B5" s="4">
        <v>362808</v>
      </c>
    </row>
    <row r="6" spans="1:2" x14ac:dyDescent="0.3">
      <c r="A6" s="3" t="s">
        <v>5</v>
      </c>
      <c r="B6" s="4">
        <v>2813</v>
      </c>
    </row>
    <row r="7" spans="1:2" x14ac:dyDescent="0.3">
      <c r="A7" s="3" t="s">
        <v>6</v>
      </c>
      <c r="B7" s="4">
        <v>2500</v>
      </c>
    </row>
    <row r="8" spans="1:2" x14ac:dyDescent="0.3">
      <c r="A8" s="3" t="s">
        <v>7</v>
      </c>
      <c r="B8" s="4">
        <v>8264</v>
      </c>
    </row>
    <row r="9" spans="1:2" x14ac:dyDescent="0.3">
      <c r="A9" s="3" t="s">
        <v>8</v>
      </c>
      <c r="B9" s="4">
        <v>600</v>
      </c>
    </row>
    <row r="10" spans="1:2" x14ac:dyDescent="0.3">
      <c r="A10" s="9" t="s">
        <v>9</v>
      </c>
      <c r="B10" s="4">
        <v>1700</v>
      </c>
    </row>
    <row r="11" spans="1:2" x14ac:dyDescent="0.3">
      <c r="A11" s="3" t="s">
        <v>10</v>
      </c>
      <c r="B11" s="4">
        <v>300</v>
      </c>
    </row>
    <row r="12" spans="1:2" x14ac:dyDescent="0.3">
      <c r="A12" s="3" t="s">
        <v>11</v>
      </c>
      <c r="B12" s="4">
        <v>77585</v>
      </c>
    </row>
    <row r="13" spans="1:2" x14ac:dyDescent="0.3">
      <c r="A13" s="3" t="s">
        <v>12</v>
      </c>
      <c r="B13" s="4">
        <f>995+1220</f>
        <v>2215</v>
      </c>
    </row>
    <row r="14" spans="1:2" x14ac:dyDescent="0.3">
      <c r="A14" s="3" t="s">
        <v>14</v>
      </c>
      <c r="B14" s="4">
        <v>4351</v>
      </c>
    </row>
    <row r="15" spans="1:2" x14ac:dyDescent="0.3">
      <c r="A15" s="3" t="s">
        <v>15</v>
      </c>
      <c r="B15" s="4">
        <v>100</v>
      </c>
    </row>
    <row r="16" spans="1:2" x14ac:dyDescent="0.3">
      <c r="A16" s="3" t="s">
        <v>16</v>
      </c>
      <c r="B16" s="4">
        <v>1000</v>
      </c>
    </row>
    <row r="17" spans="1:2" x14ac:dyDescent="0.3">
      <c r="A17" s="3" t="s">
        <v>17</v>
      </c>
      <c r="B17" s="4">
        <v>9800</v>
      </c>
    </row>
    <row r="18" spans="1:2" x14ac:dyDescent="0.3">
      <c r="A18" s="3" t="s">
        <v>18</v>
      </c>
      <c r="B18" s="4">
        <v>4914</v>
      </c>
    </row>
    <row r="19" spans="1:2" x14ac:dyDescent="0.3">
      <c r="A19" s="2" t="s">
        <v>1</v>
      </c>
      <c r="B19" s="4">
        <v>321121</v>
      </c>
    </row>
    <row r="20" spans="1:2" x14ac:dyDescent="0.3">
      <c r="A20" s="3" t="s">
        <v>21</v>
      </c>
      <c r="B20" s="4">
        <v>50000</v>
      </c>
    </row>
    <row r="21" spans="1:2" x14ac:dyDescent="0.3">
      <c r="A21" s="3" t="s">
        <v>22</v>
      </c>
      <c r="B21" s="4">
        <v>44631</v>
      </c>
    </row>
    <row r="22" spans="1:2" x14ac:dyDescent="0.3">
      <c r="A22" s="9" t="s">
        <v>23</v>
      </c>
      <c r="B22" s="4">
        <v>200</v>
      </c>
    </row>
    <row r="23" spans="1:2" x14ac:dyDescent="0.3">
      <c r="A23" s="3" t="s">
        <v>24</v>
      </c>
      <c r="B23" s="4">
        <v>330</v>
      </c>
    </row>
    <row r="25" spans="1:2" x14ac:dyDescent="0.3">
      <c r="A25" s="6" t="s">
        <v>28</v>
      </c>
      <c r="B25" s="7">
        <f>SUM(B4:B23)</f>
        <v>1027524</v>
      </c>
    </row>
  </sheetData>
  <autoFilter ref="A3:B3" xr:uid="{047A446A-F279-4762-A651-532DD88D94BA}">
    <sortState xmlns:xlrd2="http://schemas.microsoft.com/office/spreadsheetml/2017/richdata2" ref="A4:B23">
      <sortCondition ref="A3"/>
    </sortState>
  </autoFilter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B6D5A-439C-4A9D-89C4-AEA787B4C46D}">
  <dimension ref="A1:B24"/>
  <sheetViews>
    <sheetView tabSelected="1" workbookViewId="0">
      <selection activeCell="C15" sqref="C15"/>
    </sheetView>
  </sheetViews>
  <sheetFormatPr defaultRowHeight="14.4" x14ac:dyDescent="0.3"/>
  <cols>
    <col min="1" max="1" width="32.5546875" bestFit="1" customWidth="1"/>
    <col min="2" max="2" width="7" bestFit="1" customWidth="1"/>
  </cols>
  <sheetData>
    <row r="1" spans="1:2" x14ac:dyDescent="0.3">
      <c r="A1" s="12" t="s">
        <v>30</v>
      </c>
      <c r="B1" s="12"/>
    </row>
    <row r="3" spans="1:2" x14ac:dyDescent="0.3">
      <c r="A3" s="1" t="s">
        <v>0</v>
      </c>
      <c r="B3" s="5" t="s">
        <v>27</v>
      </c>
    </row>
    <row r="4" spans="1:2" x14ac:dyDescent="0.3">
      <c r="A4" s="3" t="s">
        <v>2</v>
      </c>
      <c r="B4" s="4">
        <v>56983</v>
      </c>
    </row>
    <row r="5" spans="1:2" x14ac:dyDescent="0.3">
      <c r="A5" s="3" t="s">
        <v>3</v>
      </c>
      <c r="B5" s="4">
        <v>118</v>
      </c>
    </row>
    <row r="6" spans="1:2" x14ac:dyDescent="0.3">
      <c r="A6" s="3" t="s">
        <v>4</v>
      </c>
      <c r="B6" s="4">
        <v>275962</v>
      </c>
    </row>
    <row r="7" spans="1:2" x14ac:dyDescent="0.3">
      <c r="A7" s="3" t="s">
        <v>5</v>
      </c>
      <c r="B7" s="4">
        <v>4253</v>
      </c>
    </row>
    <row r="8" spans="1:2" x14ac:dyDescent="0.3">
      <c r="A8" s="3" t="s">
        <v>6</v>
      </c>
      <c r="B8" s="4">
        <v>5000</v>
      </c>
    </row>
    <row r="9" spans="1:2" x14ac:dyDescent="0.3">
      <c r="A9" s="3" t="s">
        <v>32</v>
      </c>
      <c r="B9" s="4">
        <v>50910</v>
      </c>
    </row>
    <row r="10" spans="1:2" x14ac:dyDescent="0.3">
      <c r="A10" s="9" t="s">
        <v>7</v>
      </c>
      <c r="B10" s="4">
        <v>6839</v>
      </c>
    </row>
    <row r="11" spans="1:2" x14ac:dyDescent="0.3">
      <c r="A11" s="3" t="s">
        <v>10</v>
      </c>
      <c r="B11" s="4">
        <v>950</v>
      </c>
    </row>
    <row r="12" spans="1:2" x14ac:dyDescent="0.3">
      <c r="A12" s="3" t="s">
        <v>11</v>
      </c>
      <c r="B12" s="4">
        <v>75136</v>
      </c>
    </row>
    <row r="13" spans="1:2" x14ac:dyDescent="0.3">
      <c r="A13" s="3" t="s">
        <v>12</v>
      </c>
      <c r="B13" s="4">
        <v>400</v>
      </c>
    </row>
    <row r="14" spans="1:2" x14ac:dyDescent="0.3">
      <c r="A14" s="3" t="s">
        <v>13</v>
      </c>
      <c r="B14" s="4">
        <v>3362</v>
      </c>
    </row>
    <row r="15" spans="1:2" x14ac:dyDescent="0.3">
      <c r="A15" s="3" t="s">
        <v>16</v>
      </c>
      <c r="B15" s="4">
        <v>400</v>
      </c>
    </row>
    <row r="16" spans="1:2" x14ac:dyDescent="0.3">
      <c r="A16" s="3" t="s">
        <v>17</v>
      </c>
      <c r="B16" s="4">
        <v>1250</v>
      </c>
    </row>
    <row r="17" spans="1:2" x14ac:dyDescent="0.3">
      <c r="A17" s="3" t="s">
        <v>18</v>
      </c>
      <c r="B17" s="4">
        <v>5158.78</v>
      </c>
    </row>
    <row r="18" spans="1:2" x14ac:dyDescent="0.3">
      <c r="A18" s="2" t="s">
        <v>1</v>
      </c>
      <c r="B18" s="4">
        <v>337462</v>
      </c>
    </row>
    <row r="19" spans="1:2" x14ac:dyDescent="0.3">
      <c r="A19" s="3" t="s">
        <v>20</v>
      </c>
      <c r="B19" s="4">
        <v>1500</v>
      </c>
    </row>
    <row r="20" spans="1:2" x14ac:dyDescent="0.3">
      <c r="A20" s="3" t="s">
        <v>21</v>
      </c>
      <c r="B20" s="4">
        <v>50000</v>
      </c>
    </row>
    <row r="21" spans="1:2" x14ac:dyDescent="0.3">
      <c r="A21" s="3" t="s">
        <v>22</v>
      </c>
      <c r="B21" s="4">
        <v>41364</v>
      </c>
    </row>
    <row r="22" spans="1:2" x14ac:dyDescent="0.3">
      <c r="A22" s="10" t="s">
        <v>24</v>
      </c>
      <c r="B22" s="4">
        <v>300</v>
      </c>
    </row>
    <row r="24" spans="1:2" x14ac:dyDescent="0.3">
      <c r="A24" s="6" t="s">
        <v>28</v>
      </c>
      <c r="B24" s="7">
        <f>SUM(B4:B22)</f>
        <v>917347.78</v>
      </c>
    </row>
  </sheetData>
  <autoFilter ref="A3:B3" xr:uid="{C67B6D5A-439C-4A9D-89C4-AEA787B4C46D}">
    <sortState xmlns:xlrd2="http://schemas.microsoft.com/office/spreadsheetml/2017/richdata2" ref="A4:B22">
      <sortCondition ref="A3"/>
    </sortState>
  </autoFilter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43F0-74CA-4E3C-90A5-CF940C69793F}">
  <dimension ref="A1:D29"/>
  <sheetViews>
    <sheetView topLeftCell="A6" workbookViewId="0">
      <selection sqref="A1:D29"/>
    </sheetView>
  </sheetViews>
  <sheetFormatPr defaultRowHeight="14.4" x14ac:dyDescent="0.3"/>
  <cols>
    <col min="2" max="2" width="19.77734375" bestFit="1" customWidth="1"/>
  </cols>
  <sheetData>
    <row r="1" spans="1:4" x14ac:dyDescent="0.3">
      <c r="D1">
        <v>1000</v>
      </c>
    </row>
    <row r="2" spans="1:4" x14ac:dyDescent="0.3">
      <c r="A2" t="s">
        <v>33</v>
      </c>
      <c r="B2" t="s">
        <v>34</v>
      </c>
      <c r="C2" t="s">
        <v>35</v>
      </c>
      <c r="D2" t="s">
        <v>62</v>
      </c>
    </row>
    <row r="3" spans="1:4" x14ac:dyDescent="0.3">
      <c r="A3">
        <v>1</v>
      </c>
      <c r="B3" t="s">
        <v>36</v>
      </c>
      <c r="C3">
        <v>13000</v>
      </c>
      <c r="D3">
        <f>C3+$D$1</f>
        <v>14000</v>
      </c>
    </row>
    <row r="4" spans="1:4" x14ac:dyDescent="0.3">
      <c r="A4">
        <f>A3+1</f>
        <v>2</v>
      </c>
      <c r="B4" t="s">
        <v>38</v>
      </c>
      <c r="C4">
        <v>11000</v>
      </c>
      <c r="D4">
        <f t="shared" ref="D4:D28" si="0">C4+$D$1</f>
        <v>12000</v>
      </c>
    </row>
    <row r="5" spans="1:4" x14ac:dyDescent="0.3">
      <c r="A5">
        <f t="shared" ref="A5:A27" si="1">A4+1</f>
        <v>3</v>
      </c>
      <c r="B5" t="s">
        <v>37</v>
      </c>
      <c r="C5">
        <v>11000</v>
      </c>
      <c r="D5">
        <f t="shared" si="0"/>
        <v>12000</v>
      </c>
    </row>
    <row r="6" spans="1:4" x14ac:dyDescent="0.3">
      <c r="A6">
        <f t="shared" si="1"/>
        <v>4</v>
      </c>
      <c r="B6" t="s">
        <v>39</v>
      </c>
      <c r="C6">
        <v>16500</v>
      </c>
      <c r="D6">
        <f t="shared" si="0"/>
        <v>17500</v>
      </c>
    </row>
    <row r="7" spans="1:4" x14ac:dyDescent="0.3">
      <c r="A7">
        <f t="shared" si="1"/>
        <v>5</v>
      </c>
      <c r="B7" t="s">
        <v>40</v>
      </c>
      <c r="C7">
        <v>9500</v>
      </c>
      <c r="D7">
        <f t="shared" si="0"/>
        <v>10500</v>
      </c>
    </row>
    <row r="8" spans="1:4" x14ac:dyDescent="0.3">
      <c r="A8">
        <f t="shared" si="1"/>
        <v>6</v>
      </c>
      <c r="B8" t="s">
        <v>41</v>
      </c>
      <c r="C8">
        <v>9500</v>
      </c>
      <c r="D8">
        <f t="shared" si="0"/>
        <v>10500</v>
      </c>
    </row>
    <row r="9" spans="1:4" x14ac:dyDescent="0.3">
      <c r="A9">
        <f t="shared" si="1"/>
        <v>7</v>
      </c>
      <c r="B9" t="s">
        <v>42</v>
      </c>
      <c r="C9">
        <v>9500</v>
      </c>
      <c r="D9">
        <f t="shared" si="0"/>
        <v>10500</v>
      </c>
    </row>
    <row r="10" spans="1:4" x14ac:dyDescent="0.3">
      <c r="A10">
        <f t="shared" si="1"/>
        <v>8</v>
      </c>
      <c r="B10" t="s">
        <v>43</v>
      </c>
      <c r="C10">
        <v>7500</v>
      </c>
      <c r="D10">
        <f t="shared" si="0"/>
        <v>8500</v>
      </c>
    </row>
    <row r="11" spans="1:4" x14ac:dyDescent="0.3">
      <c r="A11">
        <f t="shared" si="1"/>
        <v>9</v>
      </c>
      <c r="B11" t="s">
        <v>44</v>
      </c>
      <c r="C11">
        <v>7500</v>
      </c>
      <c r="D11">
        <f t="shared" si="0"/>
        <v>8500</v>
      </c>
    </row>
    <row r="12" spans="1:4" x14ac:dyDescent="0.3">
      <c r="A12">
        <f t="shared" si="1"/>
        <v>10</v>
      </c>
      <c r="B12" t="s">
        <v>45</v>
      </c>
      <c r="C12">
        <v>7500</v>
      </c>
      <c r="D12">
        <f t="shared" si="0"/>
        <v>8500</v>
      </c>
    </row>
    <row r="13" spans="1:4" x14ac:dyDescent="0.3">
      <c r="A13">
        <f t="shared" si="1"/>
        <v>11</v>
      </c>
      <c r="B13" t="s">
        <v>46</v>
      </c>
      <c r="C13">
        <v>7500</v>
      </c>
      <c r="D13">
        <f t="shared" si="0"/>
        <v>8500</v>
      </c>
    </row>
    <row r="14" spans="1:4" x14ac:dyDescent="0.3">
      <c r="A14">
        <f t="shared" si="1"/>
        <v>12</v>
      </c>
      <c r="B14" t="s">
        <v>47</v>
      </c>
      <c r="C14">
        <v>7500</v>
      </c>
      <c r="D14">
        <f t="shared" si="0"/>
        <v>8500</v>
      </c>
    </row>
    <row r="15" spans="1:4" x14ac:dyDescent="0.3">
      <c r="A15">
        <f t="shared" si="1"/>
        <v>13</v>
      </c>
      <c r="B15" t="s">
        <v>48</v>
      </c>
      <c r="C15">
        <v>9000</v>
      </c>
      <c r="D15">
        <f t="shared" si="0"/>
        <v>10000</v>
      </c>
    </row>
    <row r="16" spans="1:4" x14ac:dyDescent="0.3">
      <c r="A16">
        <f t="shared" si="1"/>
        <v>14</v>
      </c>
      <c r="B16" t="s">
        <v>49</v>
      </c>
      <c r="C16">
        <v>10000</v>
      </c>
      <c r="D16">
        <f t="shared" si="0"/>
        <v>11000</v>
      </c>
    </row>
    <row r="17" spans="1:4" x14ac:dyDescent="0.3">
      <c r="A17">
        <f t="shared" si="1"/>
        <v>15</v>
      </c>
      <c r="B17" t="s">
        <v>50</v>
      </c>
      <c r="C17">
        <v>9000</v>
      </c>
      <c r="D17">
        <f t="shared" si="0"/>
        <v>10000</v>
      </c>
    </row>
    <row r="18" spans="1:4" x14ac:dyDescent="0.3">
      <c r="A18">
        <f t="shared" si="1"/>
        <v>16</v>
      </c>
      <c r="B18" t="s">
        <v>51</v>
      </c>
      <c r="C18">
        <v>9000</v>
      </c>
      <c r="D18">
        <f t="shared" si="0"/>
        <v>10000</v>
      </c>
    </row>
    <row r="19" spans="1:4" x14ac:dyDescent="0.3">
      <c r="A19">
        <f t="shared" si="1"/>
        <v>17</v>
      </c>
      <c r="B19" t="s">
        <v>52</v>
      </c>
      <c r="C19">
        <v>9000</v>
      </c>
      <c r="D19">
        <f t="shared" si="0"/>
        <v>10000</v>
      </c>
    </row>
    <row r="20" spans="1:4" x14ac:dyDescent="0.3">
      <c r="A20">
        <f t="shared" si="1"/>
        <v>18</v>
      </c>
      <c r="B20" t="s">
        <v>53</v>
      </c>
      <c r="C20">
        <v>9000</v>
      </c>
      <c r="D20">
        <f t="shared" si="0"/>
        <v>10000</v>
      </c>
    </row>
    <row r="21" spans="1:4" x14ac:dyDescent="0.3">
      <c r="A21">
        <f t="shared" si="1"/>
        <v>19</v>
      </c>
      <c r="B21" t="s">
        <v>54</v>
      </c>
      <c r="C21">
        <v>8500</v>
      </c>
      <c r="D21">
        <f t="shared" si="0"/>
        <v>9500</v>
      </c>
    </row>
    <row r="22" spans="1:4" x14ac:dyDescent="0.3">
      <c r="A22">
        <f t="shared" si="1"/>
        <v>20</v>
      </c>
      <c r="B22" t="s">
        <v>55</v>
      </c>
      <c r="C22">
        <v>8500</v>
      </c>
      <c r="D22">
        <f t="shared" si="0"/>
        <v>9500</v>
      </c>
    </row>
    <row r="23" spans="1:4" x14ac:dyDescent="0.3">
      <c r="A23">
        <f t="shared" si="1"/>
        <v>21</v>
      </c>
      <c r="B23" t="s">
        <v>56</v>
      </c>
      <c r="C23">
        <v>10000</v>
      </c>
      <c r="D23">
        <f t="shared" si="0"/>
        <v>11000</v>
      </c>
    </row>
    <row r="24" spans="1:4" x14ac:dyDescent="0.3">
      <c r="A24">
        <f t="shared" si="1"/>
        <v>22</v>
      </c>
      <c r="B24" t="s">
        <v>57</v>
      </c>
      <c r="C24">
        <v>9000</v>
      </c>
      <c r="D24">
        <f t="shared" si="0"/>
        <v>10000</v>
      </c>
    </row>
    <row r="25" spans="1:4" x14ac:dyDescent="0.3">
      <c r="A25">
        <f t="shared" si="1"/>
        <v>23</v>
      </c>
      <c r="B25" t="s">
        <v>58</v>
      </c>
      <c r="C25">
        <v>9000</v>
      </c>
      <c r="D25">
        <f t="shared" si="0"/>
        <v>10000</v>
      </c>
    </row>
    <row r="26" spans="1:4" x14ac:dyDescent="0.3">
      <c r="A26">
        <f t="shared" si="1"/>
        <v>24</v>
      </c>
      <c r="B26" t="s">
        <v>59</v>
      </c>
      <c r="C26">
        <v>3500</v>
      </c>
      <c r="D26">
        <f t="shared" si="0"/>
        <v>4500</v>
      </c>
    </row>
    <row r="27" spans="1:4" x14ac:dyDescent="0.3">
      <c r="A27">
        <f t="shared" si="1"/>
        <v>25</v>
      </c>
      <c r="B27" t="s">
        <v>60</v>
      </c>
      <c r="C27">
        <v>7000</v>
      </c>
      <c r="D27">
        <f t="shared" si="0"/>
        <v>8000</v>
      </c>
    </row>
    <row r="28" spans="1:4" x14ac:dyDescent="0.3">
      <c r="A28">
        <v>26</v>
      </c>
      <c r="B28" t="s">
        <v>78</v>
      </c>
      <c r="C28">
        <v>3000</v>
      </c>
      <c r="D28">
        <f t="shared" si="0"/>
        <v>4000</v>
      </c>
    </row>
    <row r="29" spans="1:4" x14ac:dyDescent="0.3">
      <c r="A29">
        <f>A27+1</f>
        <v>26</v>
      </c>
      <c r="B29" t="s">
        <v>61</v>
      </c>
      <c r="C29">
        <f>SUM(C3:C28)</f>
        <v>231000</v>
      </c>
      <c r="D29">
        <f>SUM(D3:D28)</f>
        <v>257000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B3DE-6464-443F-A8D3-F416D23C55CC}">
  <dimension ref="B2:P19"/>
  <sheetViews>
    <sheetView workbookViewId="0">
      <selection activeCell="N12" sqref="N12:P12"/>
    </sheetView>
  </sheetViews>
  <sheetFormatPr defaultRowHeight="14.4" x14ac:dyDescent="0.3"/>
  <cols>
    <col min="3" max="3" width="20.6640625" bestFit="1" customWidth="1"/>
  </cols>
  <sheetData>
    <row r="2" spans="2:16" x14ac:dyDescent="0.3">
      <c r="B2" t="s">
        <v>33</v>
      </c>
      <c r="C2" t="s">
        <v>63</v>
      </c>
      <c r="D2" t="s">
        <v>64</v>
      </c>
      <c r="E2" t="s">
        <v>68</v>
      </c>
      <c r="F2" t="s">
        <v>69</v>
      </c>
    </row>
    <row r="3" spans="2:16" x14ac:dyDescent="0.3">
      <c r="B3">
        <v>1</v>
      </c>
      <c r="C3" t="s">
        <v>65</v>
      </c>
      <c r="D3">
        <v>40950</v>
      </c>
      <c r="E3">
        <f>1400*26</f>
        <v>36400</v>
      </c>
      <c r="F3">
        <f>26*175</f>
        <v>4550</v>
      </c>
      <c r="G3">
        <f>F3+E3</f>
        <v>40950</v>
      </c>
    </row>
    <row r="4" spans="2:16" x14ac:dyDescent="0.3">
      <c r="B4">
        <f>B3+1</f>
        <v>2</v>
      </c>
      <c r="C4" t="s">
        <v>66</v>
      </c>
      <c r="D4">
        <v>40950</v>
      </c>
      <c r="E4">
        <f t="shared" ref="E4:E5" si="0">1400*26</f>
        <v>36400</v>
      </c>
      <c r="F4">
        <f t="shared" ref="F4:F5" si="1">26*175</f>
        <v>4550</v>
      </c>
      <c r="G4">
        <f t="shared" ref="G4:G5" si="2">F4+E4</f>
        <v>40950</v>
      </c>
    </row>
    <row r="5" spans="2:16" x14ac:dyDescent="0.3">
      <c r="B5">
        <f t="shared" ref="B5:B18" si="3">B4+1</f>
        <v>3</v>
      </c>
      <c r="C5" t="s">
        <v>67</v>
      </c>
      <c r="D5">
        <v>40950</v>
      </c>
      <c r="E5">
        <f t="shared" si="0"/>
        <v>36400</v>
      </c>
      <c r="F5">
        <f t="shared" si="1"/>
        <v>4550</v>
      </c>
      <c r="G5">
        <f t="shared" si="2"/>
        <v>40950</v>
      </c>
      <c r="M5" s="13"/>
      <c r="N5" s="13">
        <v>6</v>
      </c>
      <c r="O5" s="13">
        <v>6</v>
      </c>
      <c r="P5" s="13">
        <v>6</v>
      </c>
    </row>
    <row r="6" spans="2:16" x14ac:dyDescent="0.3">
      <c r="B6">
        <f t="shared" si="3"/>
        <v>4</v>
      </c>
      <c r="C6" t="s">
        <v>77</v>
      </c>
      <c r="D6">
        <v>210000</v>
      </c>
      <c r="M6" s="13"/>
      <c r="N6" s="13">
        <v>4</v>
      </c>
      <c r="O6" s="13">
        <v>4</v>
      </c>
      <c r="P6" s="13">
        <v>4</v>
      </c>
    </row>
    <row r="7" spans="2:16" x14ac:dyDescent="0.3">
      <c r="B7">
        <f t="shared" si="3"/>
        <v>5</v>
      </c>
      <c r="C7" t="s">
        <v>68</v>
      </c>
      <c r="D7">
        <v>59000</v>
      </c>
      <c r="M7" s="13"/>
      <c r="N7" s="13" t="s">
        <v>90</v>
      </c>
      <c r="O7" s="13" t="s">
        <v>91</v>
      </c>
      <c r="P7" s="13" t="s">
        <v>92</v>
      </c>
    </row>
    <row r="8" spans="2:16" x14ac:dyDescent="0.3">
      <c r="B8">
        <f t="shared" si="3"/>
        <v>6</v>
      </c>
      <c r="C8" t="s">
        <v>74</v>
      </c>
      <c r="D8">
        <v>64000</v>
      </c>
      <c r="I8">
        <v>11500</v>
      </c>
      <c r="J8">
        <v>4</v>
      </c>
      <c r="K8">
        <f>I8*J8</f>
        <v>46000</v>
      </c>
      <c r="M8" s="13" t="s">
        <v>93</v>
      </c>
      <c r="N8" s="13">
        <v>9075</v>
      </c>
      <c r="O8" s="13">
        <v>9008</v>
      </c>
      <c r="P8" s="13">
        <v>10372</v>
      </c>
    </row>
    <row r="9" spans="2:16" x14ac:dyDescent="0.3">
      <c r="B9">
        <f t="shared" si="3"/>
        <v>7</v>
      </c>
      <c r="C9" t="s">
        <v>76</v>
      </c>
      <c r="D9">
        <v>10000</v>
      </c>
      <c r="I9">
        <v>3000</v>
      </c>
      <c r="J9">
        <v>6</v>
      </c>
      <c r="K9">
        <f>I9*J9</f>
        <v>18000</v>
      </c>
      <c r="M9" s="13"/>
      <c r="N9" s="13">
        <f>N8*N6</f>
        <v>36300</v>
      </c>
      <c r="O9" s="13">
        <f t="shared" ref="O9:P9" si="4">O8*O6</f>
        <v>36032</v>
      </c>
      <c r="P9" s="13">
        <f t="shared" si="4"/>
        <v>41488</v>
      </c>
    </row>
    <row r="10" spans="2:16" x14ac:dyDescent="0.3">
      <c r="B10">
        <f t="shared" si="3"/>
        <v>8</v>
      </c>
      <c r="C10" t="s">
        <v>70</v>
      </c>
      <c r="D10">
        <v>10000</v>
      </c>
      <c r="M10" s="13" t="s">
        <v>94</v>
      </c>
      <c r="N10" s="13">
        <v>3000</v>
      </c>
      <c r="O10" s="13">
        <v>3000</v>
      </c>
      <c r="P10" s="13">
        <v>3000</v>
      </c>
    </row>
    <row r="11" spans="2:16" x14ac:dyDescent="0.3">
      <c r="B11">
        <f t="shared" si="3"/>
        <v>9</v>
      </c>
      <c r="C11" t="s">
        <v>75</v>
      </c>
      <c r="D11">
        <v>18200</v>
      </c>
      <c r="I11">
        <f>200*26</f>
        <v>5200</v>
      </c>
      <c r="J11">
        <v>3.5</v>
      </c>
      <c r="K11">
        <f>I11*J11</f>
        <v>18200</v>
      </c>
      <c r="M11" s="13"/>
      <c r="N11" s="13">
        <f>N10*N5</f>
        <v>18000</v>
      </c>
      <c r="O11" s="13">
        <f t="shared" ref="O11:P11" si="5">O10*O5</f>
        <v>18000</v>
      </c>
      <c r="P11" s="13">
        <f t="shared" si="5"/>
        <v>18000</v>
      </c>
    </row>
    <row r="12" spans="2:16" x14ac:dyDescent="0.3">
      <c r="B12">
        <f t="shared" si="3"/>
        <v>10</v>
      </c>
      <c r="C12" t="s">
        <v>79</v>
      </c>
      <c r="D12">
        <v>5500</v>
      </c>
      <c r="M12" s="13" t="s">
        <v>95</v>
      </c>
      <c r="N12" s="13">
        <f>N11+N9</f>
        <v>54300</v>
      </c>
      <c r="O12" s="13">
        <f t="shared" ref="O12:P12" si="6">O11+O9</f>
        <v>54032</v>
      </c>
      <c r="P12" s="13">
        <f t="shared" si="6"/>
        <v>59488</v>
      </c>
    </row>
    <row r="13" spans="2:16" x14ac:dyDescent="0.3">
      <c r="B13">
        <f t="shared" si="3"/>
        <v>11</v>
      </c>
      <c r="C13" t="s">
        <v>71</v>
      </c>
      <c r="D13">
        <v>2000</v>
      </c>
    </row>
    <row r="14" spans="2:16" x14ac:dyDescent="0.3">
      <c r="B14">
        <f t="shared" si="3"/>
        <v>12</v>
      </c>
      <c r="C14" t="s">
        <v>72</v>
      </c>
      <c r="D14">
        <v>1600</v>
      </c>
      <c r="I14">
        <f>14*3600</f>
        <v>50400</v>
      </c>
      <c r="J14">
        <f>2000*14</f>
        <v>28000</v>
      </c>
      <c r="K14">
        <f>I14+J14</f>
        <v>78400</v>
      </c>
      <c r="L14">
        <f>K14/12</f>
        <v>6533.333333333333</v>
      </c>
    </row>
    <row r="15" spans="2:16" x14ac:dyDescent="0.3">
      <c r="B15">
        <f t="shared" si="3"/>
        <v>13</v>
      </c>
      <c r="C15" t="s">
        <v>73</v>
      </c>
      <c r="D15">
        <v>6533</v>
      </c>
    </row>
    <row r="16" spans="2:16" x14ac:dyDescent="0.3">
      <c r="B16">
        <f t="shared" si="3"/>
        <v>14</v>
      </c>
      <c r="C16" t="s">
        <v>80</v>
      </c>
      <c r="D16">
        <v>2600</v>
      </c>
    </row>
    <row r="17" spans="2:4" x14ac:dyDescent="0.3">
      <c r="B17">
        <f t="shared" si="3"/>
        <v>15</v>
      </c>
      <c r="C17" t="s">
        <v>81</v>
      </c>
      <c r="D17">
        <v>3000</v>
      </c>
    </row>
    <row r="18" spans="2:4" x14ac:dyDescent="0.3">
      <c r="B18">
        <f t="shared" si="3"/>
        <v>16</v>
      </c>
      <c r="C18" t="s">
        <v>82</v>
      </c>
      <c r="D18">
        <v>8500</v>
      </c>
    </row>
    <row r="19" spans="2:4" x14ac:dyDescent="0.3">
      <c r="C19" t="s">
        <v>61</v>
      </c>
      <c r="D19">
        <f>SUM(D3:D18)</f>
        <v>523783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ACD6-DD40-45E8-9FDD-B09A4DE94AA3}">
  <dimension ref="A1:E29"/>
  <sheetViews>
    <sheetView topLeftCell="A3" workbookViewId="0">
      <selection activeCell="D4" sqref="D4:D28"/>
    </sheetView>
  </sheetViews>
  <sheetFormatPr defaultRowHeight="14.4" x14ac:dyDescent="0.3"/>
  <cols>
    <col min="1" max="1" width="4.5546875" bestFit="1" customWidth="1"/>
    <col min="2" max="2" width="19.77734375" bestFit="1" customWidth="1"/>
    <col min="3" max="3" width="8.5546875" bestFit="1" customWidth="1"/>
    <col min="4" max="5" width="10.5546875" bestFit="1" customWidth="1"/>
  </cols>
  <sheetData>
    <row r="1" spans="1:5" x14ac:dyDescent="0.3">
      <c r="C1">
        <v>27</v>
      </c>
      <c r="D1">
        <v>24</v>
      </c>
      <c r="E1">
        <v>26</v>
      </c>
    </row>
    <row r="2" spans="1:5" x14ac:dyDescent="0.3">
      <c r="A2" t="s">
        <v>33</v>
      </c>
      <c r="B2" t="s">
        <v>34</v>
      </c>
      <c r="C2" t="s">
        <v>83</v>
      </c>
      <c r="D2" t="s">
        <v>88</v>
      </c>
      <c r="E2" t="s">
        <v>89</v>
      </c>
    </row>
    <row r="3" spans="1:5" x14ac:dyDescent="0.3">
      <c r="A3">
        <v>1</v>
      </c>
      <c r="B3" t="s">
        <v>36</v>
      </c>
      <c r="C3">
        <v>14000</v>
      </c>
      <c r="D3" s="11">
        <f>C3/27*24</f>
        <v>12444.444444444443</v>
      </c>
      <c r="E3" s="11">
        <f>C3/27*26</f>
        <v>13481.48148148148</v>
      </c>
    </row>
    <row r="4" spans="1:5" x14ac:dyDescent="0.3">
      <c r="A4">
        <f>A3+1</f>
        <v>2</v>
      </c>
      <c r="B4" t="s">
        <v>38</v>
      </c>
      <c r="C4">
        <v>12000</v>
      </c>
      <c r="D4" s="11">
        <f t="shared" ref="D4:D28" si="0">C4/27*24</f>
        <v>10666.666666666668</v>
      </c>
      <c r="E4" s="11">
        <f t="shared" ref="E4:E28" si="1">C4/27*26</f>
        <v>11555.555555555557</v>
      </c>
    </row>
    <row r="5" spans="1:5" x14ac:dyDescent="0.3">
      <c r="A5">
        <f t="shared" ref="A5:A27" si="2">A4+1</f>
        <v>3</v>
      </c>
      <c r="B5" t="s">
        <v>37</v>
      </c>
      <c r="C5">
        <v>12000</v>
      </c>
      <c r="D5" s="11">
        <f t="shared" si="0"/>
        <v>10666.666666666668</v>
      </c>
      <c r="E5" s="11">
        <f t="shared" si="1"/>
        <v>11555.555555555557</v>
      </c>
    </row>
    <row r="6" spans="1:5" x14ac:dyDescent="0.3">
      <c r="A6">
        <f t="shared" si="2"/>
        <v>4</v>
      </c>
      <c r="B6" t="s">
        <v>39</v>
      </c>
      <c r="C6">
        <v>17500</v>
      </c>
      <c r="D6" s="11">
        <f t="shared" si="0"/>
        <v>15555.555555555555</v>
      </c>
      <c r="E6" s="11">
        <f t="shared" si="1"/>
        <v>16851.85185185185</v>
      </c>
    </row>
    <row r="7" spans="1:5" x14ac:dyDescent="0.3">
      <c r="A7">
        <f t="shared" si="2"/>
        <v>5</v>
      </c>
      <c r="B7" t="s">
        <v>40</v>
      </c>
      <c r="C7">
        <v>10500</v>
      </c>
      <c r="D7" s="11">
        <f t="shared" si="0"/>
        <v>9333.3333333333339</v>
      </c>
      <c r="E7" s="11">
        <f t="shared" si="1"/>
        <v>10111.111111111111</v>
      </c>
    </row>
    <row r="8" spans="1:5" x14ac:dyDescent="0.3">
      <c r="A8">
        <f t="shared" si="2"/>
        <v>6</v>
      </c>
      <c r="B8" t="s">
        <v>41</v>
      </c>
      <c r="C8">
        <v>10500</v>
      </c>
      <c r="D8" s="11">
        <f t="shared" si="0"/>
        <v>9333.3333333333339</v>
      </c>
      <c r="E8" s="11">
        <f t="shared" si="1"/>
        <v>10111.111111111111</v>
      </c>
    </row>
    <row r="9" spans="1:5" x14ac:dyDescent="0.3">
      <c r="A9">
        <f t="shared" si="2"/>
        <v>7</v>
      </c>
      <c r="B9" t="s">
        <v>42</v>
      </c>
      <c r="C9">
        <v>10500</v>
      </c>
      <c r="D9" s="11">
        <f t="shared" si="0"/>
        <v>9333.3333333333339</v>
      </c>
      <c r="E9" s="11">
        <f t="shared" si="1"/>
        <v>10111.111111111111</v>
      </c>
    </row>
    <row r="10" spans="1:5" x14ac:dyDescent="0.3">
      <c r="A10">
        <f t="shared" si="2"/>
        <v>8</v>
      </c>
      <c r="B10" t="s">
        <v>43</v>
      </c>
      <c r="C10">
        <v>8500</v>
      </c>
      <c r="D10" s="11">
        <f t="shared" si="0"/>
        <v>7555.5555555555566</v>
      </c>
      <c r="E10" s="11">
        <f t="shared" si="1"/>
        <v>8185.1851851851861</v>
      </c>
    </row>
    <row r="11" spans="1:5" x14ac:dyDescent="0.3">
      <c r="A11">
        <f t="shared" si="2"/>
        <v>9</v>
      </c>
      <c r="B11" t="s">
        <v>44</v>
      </c>
      <c r="C11">
        <v>8500</v>
      </c>
      <c r="D11" s="11">
        <f t="shared" si="0"/>
        <v>7555.5555555555566</v>
      </c>
      <c r="E11" s="11">
        <f t="shared" si="1"/>
        <v>8185.1851851851861</v>
      </c>
    </row>
    <row r="12" spans="1:5" x14ac:dyDescent="0.3">
      <c r="A12">
        <f t="shared" si="2"/>
        <v>10</v>
      </c>
      <c r="B12" t="s">
        <v>45</v>
      </c>
      <c r="C12">
        <v>8500</v>
      </c>
      <c r="D12" s="11">
        <f t="shared" si="0"/>
        <v>7555.5555555555566</v>
      </c>
      <c r="E12" s="11">
        <f t="shared" si="1"/>
        <v>8185.1851851851861</v>
      </c>
    </row>
    <row r="13" spans="1:5" x14ac:dyDescent="0.3">
      <c r="A13">
        <f t="shared" si="2"/>
        <v>11</v>
      </c>
      <c r="B13" t="s">
        <v>46</v>
      </c>
      <c r="C13">
        <v>8500</v>
      </c>
      <c r="D13" s="11">
        <f t="shared" si="0"/>
        <v>7555.5555555555566</v>
      </c>
      <c r="E13" s="11">
        <f t="shared" si="1"/>
        <v>8185.1851851851861</v>
      </c>
    </row>
    <row r="14" spans="1:5" x14ac:dyDescent="0.3">
      <c r="A14">
        <f t="shared" si="2"/>
        <v>12</v>
      </c>
      <c r="B14" t="s">
        <v>47</v>
      </c>
      <c r="C14">
        <v>8500</v>
      </c>
      <c r="D14" s="11">
        <f t="shared" si="0"/>
        <v>7555.5555555555566</v>
      </c>
      <c r="E14" s="11">
        <f t="shared" si="1"/>
        <v>8185.1851851851861</v>
      </c>
    </row>
    <row r="15" spans="1:5" x14ac:dyDescent="0.3">
      <c r="A15">
        <f t="shared" si="2"/>
        <v>13</v>
      </c>
      <c r="B15" t="s">
        <v>48</v>
      </c>
      <c r="C15">
        <v>10000</v>
      </c>
      <c r="D15" s="11">
        <f t="shared" si="0"/>
        <v>8888.8888888888887</v>
      </c>
      <c r="E15" s="11">
        <f t="shared" si="1"/>
        <v>9629.6296296296296</v>
      </c>
    </row>
    <row r="16" spans="1:5" x14ac:dyDescent="0.3">
      <c r="A16">
        <f t="shared" si="2"/>
        <v>14</v>
      </c>
      <c r="B16" t="s">
        <v>49</v>
      </c>
      <c r="C16">
        <v>11000</v>
      </c>
      <c r="D16" s="11">
        <f t="shared" si="0"/>
        <v>9777.7777777777774</v>
      </c>
      <c r="E16" s="11">
        <f t="shared" si="1"/>
        <v>10592.592592592591</v>
      </c>
    </row>
    <row r="17" spans="1:5" x14ac:dyDescent="0.3">
      <c r="A17">
        <f t="shared" si="2"/>
        <v>15</v>
      </c>
      <c r="B17" t="s">
        <v>50</v>
      </c>
      <c r="C17">
        <v>10000</v>
      </c>
      <c r="D17" s="11">
        <f t="shared" si="0"/>
        <v>8888.8888888888887</v>
      </c>
      <c r="E17" s="11">
        <f t="shared" si="1"/>
        <v>9629.6296296296296</v>
      </c>
    </row>
    <row r="18" spans="1:5" x14ac:dyDescent="0.3">
      <c r="A18">
        <f t="shared" si="2"/>
        <v>16</v>
      </c>
      <c r="B18" t="s">
        <v>51</v>
      </c>
      <c r="C18">
        <v>10000</v>
      </c>
      <c r="D18" s="11">
        <f t="shared" si="0"/>
        <v>8888.8888888888887</v>
      </c>
      <c r="E18" s="11">
        <f t="shared" si="1"/>
        <v>9629.6296296296296</v>
      </c>
    </row>
    <row r="19" spans="1:5" x14ac:dyDescent="0.3">
      <c r="A19">
        <f t="shared" si="2"/>
        <v>17</v>
      </c>
      <c r="B19" t="s">
        <v>52</v>
      </c>
      <c r="C19">
        <v>10000</v>
      </c>
      <c r="D19" s="11">
        <f t="shared" si="0"/>
        <v>8888.8888888888887</v>
      </c>
      <c r="E19" s="11">
        <f t="shared" si="1"/>
        <v>9629.6296296296296</v>
      </c>
    </row>
    <row r="20" spans="1:5" x14ac:dyDescent="0.3">
      <c r="A20">
        <f t="shared" si="2"/>
        <v>18</v>
      </c>
      <c r="B20" t="s">
        <v>53</v>
      </c>
      <c r="C20">
        <v>10000</v>
      </c>
      <c r="D20" s="11">
        <f t="shared" si="0"/>
        <v>8888.8888888888887</v>
      </c>
      <c r="E20" s="11">
        <f t="shared" si="1"/>
        <v>9629.6296296296296</v>
      </c>
    </row>
    <row r="21" spans="1:5" x14ac:dyDescent="0.3">
      <c r="A21">
        <f t="shared" si="2"/>
        <v>19</v>
      </c>
      <c r="B21" t="s">
        <v>54</v>
      </c>
      <c r="C21">
        <v>9500</v>
      </c>
      <c r="D21" s="11">
        <f t="shared" si="0"/>
        <v>8444.4444444444453</v>
      </c>
      <c r="E21" s="11">
        <f t="shared" si="1"/>
        <v>9148.1481481481478</v>
      </c>
    </row>
    <row r="22" spans="1:5" x14ac:dyDescent="0.3">
      <c r="A22">
        <f t="shared" si="2"/>
        <v>20</v>
      </c>
      <c r="B22" t="s">
        <v>55</v>
      </c>
      <c r="C22">
        <v>9500</v>
      </c>
      <c r="D22" s="11">
        <f t="shared" si="0"/>
        <v>8444.4444444444453</v>
      </c>
      <c r="E22" s="11">
        <f t="shared" si="1"/>
        <v>9148.1481481481478</v>
      </c>
    </row>
    <row r="23" spans="1:5" x14ac:dyDescent="0.3">
      <c r="A23">
        <f t="shared" si="2"/>
        <v>21</v>
      </c>
      <c r="B23" t="s">
        <v>56</v>
      </c>
      <c r="C23">
        <v>11000</v>
      </c>
      <c r="D23" s="11">
        <f t="shared" si="0"/>
        <v>9777.7777777777774</v>
      </c>
      <c r="E23" s="11">
        <f t="shared" si="1"/>
        <v>10592.592592592591</v>
      </c>
    </row>
    <row r="24" spans="1:5" x14ac:dyDescent="0.3">
      <c r="A24">
        <f t="shared" si="2"/>
        <v>22</v>
      </c>
      <c r="B24" t="s">
        <v>57</v>
      </c>
      <c r="C24">
        <v>10000</v>
      </c>
      <c r="D24" s="11">
        <f t="shared" si="0"/>
        <v>8888.8888888888887</v>
      </c>
      <c r="E24" s="11">
        <f t="shared" si="1"/>
        <v>9629.6296296296296</v>
      </c>
    </row>
    <row r="25" spans="1:5" x14ac:dyDescent="0.3">
      <c r="A25">
        <f t="shared" si="2"/>
        <v>23</v>
      </c>
      <c r="B25" t="s">
        <v>58</v>
      </c>
      <c r="C25">
        <v>10000</v>
      </c>
      <c r="D25" s="11">
        <f t="shared" si="0"/>
        <v>8888.8888888888887</v>
      </c>
      <c r="E25" s="11">
        <f t="shared" si="1"/>
        <v>9629.6296296296296</v>
      </c>
    </row>
    <row r="26" spans="1:5" x14ac:dyDescent="0.3">
      <c r="A26">
        <f t="shared" si="2"/>
        <v>24</v>
      </c>
      <c r="B26" t="s">
        <v>59</v>
      </c>
      <c r="C26">
        <v>4500</v>
      </c>
      <c r="D26" s="11">
        <f t="shared" si="0"/>
        <v>4000</v>
      </c>
      <c r="E26" s="11">
        <f t="shared" si="1"/>
        <v>4333.333333333333</v>
      </c>
    </row>
    <row r="27" spans="1:5" x14ac:dyDescent="0.3">
      <c r="A27">
        <f t="shared" si="2"/>
        <v>25</v>
      </c>
      <c r="B27" t="s">
        <v>60</v>
      </c>
      <c r="C27">
        <v>8000</v>
      </c>
      <c r="D27" s="11">
        <f t="shared" si="0"/>
        <v>7111.1111111111113</v>
      </c>
      <c r="E27" s="11">
        <f t="shared" si="1"/>
        <v>7703.7037037037044</v>
      </c>
    </row>
    <row r="28" spans="1:5" x14ac:dyDescent="0.3">
      <c r="A28">
        <v>26</v>
      </c>
      <c r="B28" t="s">
        <v>78</v>
      </c>
      <c r="C28">
        <v>4000</v>
      </c>
      <c r="D28" s="11">
        <f t="shared" si="0"/>
        <v>3555.5555555555557</v>
      </c>
      <c r="E28" s="11">
        <f t="shared" si="1"/>
        <v>3851.8518518518522</v>
      </c>
    </row>
    <row r="29" spans="1:5" x14ac:dyDescent="0.3">
      <c r="A29">
        <f>A27+1</f>
        <v>26</v>
      </c>
      <c r="B29" t="s">
        <v>61</v>
      </c>
      <c r="C29">
        <f>SUM(C3:C28)</f>
        <v>257000</v>
      </c>
      <c r="D29" s="11">
        <f>SUM(D3:D28)</f>
        <v>228444.44444444441</v>
      </c>
      <c r="E29" s="11">
        <f>SUM(E3:E28)</f>
        <v>247481.48148148149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C3C6-8B92-43D7-8F32-EEF01BA09797}">
  <dimension ref="C1:G19"/>
  <sheetViews>
    <sheetView workbookViewId="0">
      <selection activeCell="G13" sqref="G13"/>
    </sheetView>
  </sheetViews>
  <sheetFormatPr defaultRowHeight="14.4" x14ac:dyDescent="0.3"/>
  <cols>
    <col min="4" max="4" width="19.77734375" bestFit="1" customWidth="1"/>
  </cols>
  <sheetData>
    <row r="1" spans="3:7" x14ac:dyDescent="0.3">
      <c r="E1">
        <v>27</v>
      </c>
      <c r="F1">
        <v>24</v>
      </c>
      <c r="G1">
        <v>26</v>
      </c>
    </row>
    <row r="2" spans="3:7" x14ac:dyDescent="0.3">
      <c r="C2" t="s">
        <v>33</v>
      </c>
      <c r="D2" t="s">
        <v>63</v>
      </c>
      <c r="E2" t="s">
        <v>83</v>
      </c>
      <c r="F2" t="s">
        <v>88</v>
      </c>
      <c r="G2" t="s">
        <v>89</v>
      </c>
    </row>
    <row r="3" spans="3:7" x14ac:dyDescent="0.3">
      <c r="C3">
        <v>1</v>
      </c>
      <c r="D3" t="s">
        <v>65</v>
      </c>
      <c r="E3">
        <v>40950</v>
      </c>
      <c r="F3" s="11">
        <f>E3/27*24</f>
        <v>36400</v>
      </c>
      <c r="G3" s="11">
        <f>E3/27*26</f>
        <v>39433.333333333336</v>
      </c>
    </row>
    <row r="4" spans="3:7" x14ac:dyDescent="0.3">
      <c r="C4">
        <f>C3+1</f>
        <v>2</v>
      </c>
      <c r="D4" t="s">
        <v>66</v>
      </c>
      <c r="E4">
        <v>40950</v>
      </c>
      <c r="F4" s="11">
        <f t="shared" ref="F4:F5" si="0">E4/27*24</f>
        <v>36400</v>
      </c>
      <c r="G4" s="11">
        <f t="shared" ref="G4:G5" si="1">E4/27*26</f>
        <v>39433.333333333336</v>
      </c>
    </row>
    <row r="5" spans="3:7" x14ac:dyDescent="0.3">
      <c r="C5">
        <f t="shared" ref="C5:C18" si="2">C4+1</f>
        <v>3</v>
      </c>
      <c r="D5" t="s">
        <v>67</v>
      </c>
      <c r="E5">
        <v>40950</v>
      </c>
      <c r="F5" s="11">
        <f t="shared" si="0"/>
        <v>36400</v>
      </c>
      <c r="G5" s="11">
        <f t="shared" si="1"/>
        <v>39433.333333333336</v>
      </c>
    </row>
    <row r="6" spans="3:7" x14ac:dyDescent="0.3">
      <c r="C6">
        <f t="shared" si="2"/>
        <v>4</v>
      </c>
      <c r="D6" t="s">
        <v>77</v>
      </c>
      <c r="E6">
        <v>210000</v>
      </c>
      <c r="F6">
        <v>210000</v>
      </c>
      <c r="G6">
        <v>210000</v>
      </c>
    </row>
    <row r="7" spans="3:7" x14ac:dyDescent="0.3">
      <c r="C7">
        <f t="shared" si="2"/>
        <v>5</v>
      </c>
      <c r="D7" t="s">
        <v>68</v>
      </c>
      <c r="E7">
        <v>59000</v>
      </c>
      <c r="F7">
        <v>59000</v>
      </c>
      <c r="G7">
        <v>59000</v>
      </c>
    </row>
    <row r="8" spans="3:7" x14ac:dyDescent="0.3">
      <c r="C8">
        <f t="shared" si="2"/>
        <v>6</v>
      </c>
      <c r="D8" t="s">
        <v>74</v>
      </c>
      <c r="E8">
        <v>64000</v>
      </c>
      <c r="F8">
        <v>64000</v>
      </c>
      <c r="G8">
        <v>64000</v>
      </c>
    </row>
    <row r="9" spans="3:7" x14ac:dyDescent="0.3">
      <c r="C9">
        <f t="shared" si="2"/>
        <v>7</v>
      </c>
      <c r="D9" t="s">
        <v>76</v>
      </c>
      <c r="E9">
        <v>10000</v>
      </c>
      <c r="F9">
        <v>9500</v>
      </c>
      <c r="G9">
        <v>9700</v>
      </c>
    </row>
    <row r="10" spans="3:7" x14ac:dyDescent="0.3">
      <c r="C10">
        <f t="shared" si="2"/>
        <v>8</v>
      </c>
      <c r="D10" t="s">
        <v>70</v>
      </c>
      <c r="E10">
        <v>10000</v>
      </c>
      <c r="F10">
        <v>10000</v>
      </c>
      <c r="G10">
        <v>10000</v>
      </c>
    </row>
    <row r="11" spans="3:7" x14ac:dyDescent="0.3">
      <c r="C11">
        <f t="shared" si="2"/>
        <v>9</v>
      </c>
      <c r="D11" t="s">
        <v>75</v>
      </c>
      <c r="E11">
        <v>18200</v>
      </c>
      <c r="F11">
        <v>18200</v>
      </c>
      <c r="G11">
        <v>18200</v>
      </c>
    </row>
    <row r="12" spans="3:7" x14ac:dyDescent="0.3">
      <c r="C12">
        <f t="shared" si="2"/>
        <v>10</v>
      </c>
      <c r="D12" t="s">
        <v>79</v>
      </c>
      <c r="E12">
        <v>5500</v>
      </c>
      <c r="F12">
        <v>5000</v>
      </c>
      <c r="G12">
        <v>5300</v>
      </c>
    </row>
    <row r="13" spans="3:7" x14ac:dyDescent="0.3">
      <c r="C13">
        <f t="shared" si="2"/>
        <v>11</v>
      </c>
      <c r="D13" t="s">
        <v>71</v>
      </c>
      <c r="E13">
        <v>2000</v>
      </c>
      <c r="F13">
        <v>2000</v>
      </c>
      <c r="G13">
        <v>2000</v>
      </c>
    </row>
    <row r="14" spans="3:7" x14ac:dyDescent="0.3">
      <c r="C14">
        <f t="shared" si="2"/>
        <v>12</v>
      </c>
      <c r="D14" t="s">
        <v>72</v>
      </c>
      <c r="E14">
        <v>1600</v>
      </c>
      <c r="F14">
        <v>1600</v>
      </c>
      <c r="G14">
        <v>1600</v>
      </c>
    </row>
    <row r="15" spans="3:7" x14ac:dyDescent="0.3">
      <c r="C15">
        <f t="shared" si="2"/>
        <v>13</v>
      </c>
      <c r="D15" t="s">
        <v>73</v>
      </c>
      <c r="E15">
        <v>6533</v>
      </c>
      <c r="F15">
        <v>6533</v>
      </c>
      <c r="G15">
        <v>6533</v>
      </c>
    </row>
    <row r="16" spans="3:7" x14ac:dyDescent="0.3">
      <c r="C16">
        <f t="shared" si="2"/>
        <v>14</v>
      </c>
      <c r="D16" t="s">
        <v>80</v>
      </c>
      <c r="E16">
        <v>2600</v>
      </c>
      <c r="F16">
        <v>2600</v>
      </c>
      <c r="G16">
        <v>2600</v>
      </c>
    </row>
    <row r="17" spans="3:7" x14ac:dyDescent="0.3">
      <c r="C17">
        <f t="shared" si="2"/>
        <v>15</v>
      </c>
      <c r="D17" t="s">
        <v>81</v>
      </c>
      <c r="E17">
        <v>3000</v>
      </c>
      <c r="F17">
        <v>3000</v>
      </c>
      <c r="G17">
        <v>3000</v>
      </c>
    </row>
    <row r="18" spans="3:7" x14ac:dyDescent="0.3">
      <c r="C18">
        <f t="shared" si="2"/>
        <v>16</v>
      </c>
      <c r="D18" t="s">
        <v>82</v>
      </c>
      <c r="E18">
        <v>8500</v>
      </c>
      <c r="F18">
        <v>8500</v>
      </c>
      <c r="G18">
        <v>8500</v>
      </c>
    </row>
    <row r="19" spans="3:7" x14ac:dyDescent="0.3">
      <c r="D19" t="s">
        <v>61</v>
      </c>
      <c r="E19">
        <f>SUM(E3:E18)</f>
        <v>523783</v>
      </c>
      <c r="F19">
        <f t="shared" ref="F19:G19" si="3">SUM(F3:F18)</f>
        <v>509133</v>
      </c>
      <c r="G19">
        <f t="shared" si="3"/>
        <v>518733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B690B-CA1D-48FE-9275-B218CF5D824C}">
  <dimension ref="A2:D5"/>
  <sheetViews>
    <sheetView workbookViewId="0">
      <selection activeCell="F12" sqref="F12"/>
    </sheetView>
  </sheetViews>
  <sheetFormatPr defaultRowHeight="14.4" x14ac:dyDescent="0.3"/>
  <sheetData>
    <row r="2" spans="1:4" x14ac:dyDescent="0.3">
      <c r="B2" t="s">
        <v>83</v>
      </c>
      <c r="C2" t="s">
        <v>84</v>
      </c>
      <c r="D2" t="s">
        <v>85</v>
      </c>
    </row>
    <row r="3" spans="1:4" x14ac:dyDescent="0.3">
      <c r="A3" t="s">
        <v>86</v>
      </c>
      <c r="B3">
        <v>257000</v>
      </c>
    </row>
    <row r="4" spans="1:4" x14ac:dyDescent="0.3">
      <c r="A4" t="s">
        <v>87</v>
      </c>
      <c r="B4">
        <v>523783</v>
      </c>
    </row>
    <row r="5" spans="1:4" x14ac:dyDescent="0.3">
      <c r="A5" t="s">
        <v>61</v>
      </c>
      <c r="B5">
        <f>SUM(B3:B4)</f>
        <v>780783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Jul'25</vt:lpstr>
      <vt:lpstr>Aug'25</vt:lpstr>
      <vt:lpstr>Sep'25</vt:lpstr>
      <vt:lpstr>SAL-JULY</vt:lpstr>
      <vt:lpstr>OTH EXP-JULY</vt:lpstr>
      <vt:lpstr>SAL-J-S</vt:lpstr>
      <vt:lpstr>OTH-EXP J-S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Siripurapu Naresh Kumar</dc:creator>
  <cp:lastModifiedBy>MARUPATI SAI CHARAN REDDY</cp:lastModifiedBy>
  <dcterms:created xsi:type="dcterms:W3CDTF">2025-10-28T07:23:42Z</dcterms:created>
  <dcterms:modified xsi:type="dcterms:W3CDTF">2025-11-07T11:53:58Z</dcterms:modified>
</cp:coreProperties>
</file>